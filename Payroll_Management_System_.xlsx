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il\Desktop\ITC Lab\"/>
    </mc:Choice>
  </mc:AlternateContent>
  <bookViews>
    <workbookView xWindow="0" yWindow="0" windowWidth="20490" windowHeight="7755" tabRatio="500"/>
  </bookViews>
  <sheets>
    <sheet name="Payroll Register" sheetId="1" r:id="rId1"/>
    <sheet name="Summary Dashboard" sheetId="2" r:id="rId2"/>
    <sheet name="Formula Legend" sheetId="3" r:id="rId3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2" l="1"/>
  <c r="D4" i="2"/>
  <c r="M21" i="1"/>
  <c r="K21" i="1"/>
  <c r="C21" i="1"/>
  <c r="D7" i="2" s="1"/>
  <c r="J20" i="1"/>
  <c r="I20" i="1"/>
  <c r="G20" i="1"/>
  <c r="L20" i="1" s="1"/>
  <c r="J19" i="1"/>
  <c r="I19" i="1"/>
  <c r="G19" i="1"/>
  <c r="L19" i="1" s="1"/>
  <c r="J18" i="1"/>
  <c r="I18" i="1"/>
  <c r="G18" i="1"/>
  <c r="L18" i="1" s="1"/>
  <c r="J17" i="1"/>
  <c r="I17" i="1"/>
  <c r="G17" i="1"/>
  <c r="L17" i="1" s="1"/>
  <c r="J16" i="1"/>
  <c r="I16" i="1"/>
  <c r="G16" i="1"/>
  <c r="L16" i="1" s="1"/>
  <c r="J15" i="1"/>
  <c r="I15" i="1"/>
  <c r="G15" i="1"/>
  <c r="L15" i="1" s="1"/>
  <c r="J14" i="1"/>
  <c r="I14" i="1"/>
  <c r="G14" i="1"/>
  <c r="L14" i="1" s="1"/>
  <c r="J13" i="1"/>
  <c r="I13" i="1"/>
  <c r="G13" i="1"/>
  <c r="L13" i="1" s="1"/>
  <c r="J12" i="1"/>
  <c r="I12" i="1"/>
  <c r="G12" i="1"/>
  <c r="L12" i="1" s="1"/>
  <c r="J11" i="1"/>
  <c r="I11" i="1"/>
  <c r="G11" i="1"/>
  <c r="L11" i="1" s="1"/>
  <c r="J10" i="1"/>
  <c r="I10" i="1"/>
  <c r="G10" i="1"/>
  <c r="L10" i="1" s="1"/>
  <c r="J9" i="1"/>
  <c r="I9" i="1"/>
  <c r="G9" i="1"/>
  <c r="L9" i="1" s="1"/>
  <c r="J8" i="1"/>
  <c r="I8" i="1"/>
  <c r="G8" i="1"/>
  <c r="L8" i="1" s="1"/>
  <c r="J7" i="1"/>
  <c r="I7" i="1"/>
  <c r="G7" i="1"/>
  <c r="L7" i="1" s="1"/>
  <c r="J6" i="1"/>
  <c r="J21" i="1" s="1"/>
  <c r="D19" i="2" s="1"/>
  <c r="I6" i="1"/>
  <c r="G6" i="1"/>
  <c r="G21" i="1" s="1"/>
  <c r="N8" i="1" l="1"/>
  <c r="O8" i="1" s="1"/>
  <c r="N10" i="1"/>
  <c r="O10" i="1" s="1"/>
  <c r="N12" i="1"/>
  <c r="O12" i="1" s="1"/>
  <c r="N14" i="1"/>
  <c r="O14" i="1" s="1"/>
  <c r="N16" i="1"/>
  <c r="O16" i="1" s="1"/>
  <c r="N18" i="1"/>
  <c r="O18" i="1" s="1"/>
  <c r="N20" i="1"/>
  <c r="O20" i="1" s="1"/>
  <c r="N7" i="1"/>
  <c r="O7" i="1" s="1"/>
  <c r="N9" i="1"/>
  <c r="O9" i="1" s="1"/>
  <c r="N11" i="1"/>
  <c r="O11" i="1" s="1"/>
  <c r="N13" i="1"/>
  <c r="O13" i="1" s="1"/>
  <c r="N15" i="1"/>
  <c r="O15" i="1" s="1"/>
  <c r="N17" i="1"/>
  <c r="O17" i="1" s="1"/>
  <c r="N19" i="1"/>
  <c r="O19" i="1" s="1"/>
  <c r="L6" i="1"/>
  <c r="L21" i="1" l="1"/>
  <c r="D10" i="2" s="1"/>
  <c r="N6" i="1"/>
  <c r="N21" i="1" s="1"/>
  <c r="D25" i="2" l="1"/>
  <c r="D13" i="2"/>
  <c r="O6" i="1"/>
  <c r="O21" i="1" s="1"/>
  <c r="D16" i="2" s="1"/>
</calcChain>
</file>

<file path=xl/sharedStrings.xml><?xml version="1.0" encoding="utf-8"?>
<sst xmlns="http://schemas.openxmlformats.org/spreadsheetml/2006/main" count="93" uniqueCount="92">
  <si>
    <t>VELOCE DYNAMIC Pvt Ltd</t>
  </si>
  <si>
    <t>EMPLOYEE PAYROLL MANAGEMENT SYSTEM  |  Month: June 2025</t>
  </si>
  <si>
    <t>EMPLOYEE INFO</t>
  </si>
  <si>
    <t>ATTENDANCE &amp; HOURS</t>
  </si>
  <si>
    <t>OVERTIME</t>
  </si>
  <si>
    <t>EARNINGS</t>
  </si>
  <si>
    <t>DEDUCTIONS</t>
  </si>
  <si>
    <t>NET PAY</t>
  </si>
  <si>
    <t>Emp ID</t>
  </si>
  <si>
    <t>Employee Name</t>
  </si>
  <si>
    <t>Basic Salary (PKR)</t>
  </si>
  <si>
    <t>Total Hours</t>
  </si>
  <si>
    <t>Hours Worked</t>
  </si>
  <si>
    <t>Absents</t>
  </si>
  <si>
    <t>Absent Deduction (PKR)</t>
  </si>
  <si>
    <t>OT Hours</t>
  </si>
  <si>
    <t>OT Rate (1.5x)</t>
  </si>
  <si>
    <t>OT Pay (PKR)</t>
  </si>
  <si>
    <t>Allowances (PKR)</t>
  </si>
  <si>
    <t>Gross Salary (PKR)</t>
  </si>
  <si>
    <t>EOBI (PKR)</t>
  </si>
  <si>
    <t>Income Tax (PKR)</t>
  </si>
  <si>
    <t>Net Pay (PKR)</t>
  </si>
  <si>
    <t>Ahmed Ali</t>
  </si>
  <si>
    <t>Sara Khan</t>
  </si>
  <si>
    <t>Bilal Sheikh</t>
  </si>
  <si>
    <t>Zainab Bibi</t>
  </si>
  <si>
    <t>Hamza Malik</t>
  </si>
  <si>
    <t>Maryam Noor</t>
  </si>
  <si>
    <t>Usman Ghani</t>
  </si>
  <si>
    <t>Fatima Ali</t>
  </si>
  <si>
    <t>Raza Abbas</t>
  </si>
  <si>
    <t>Sana Javed</t>
  </si>
  <si>
    <t>Kamran Akmal</t>
  </si>
  <si>
    <t>Hina Rabbani</t>
  </si>
  <si>
    <t>Fawad Alam</t>
  </si>
  <si>
    <t>Mehak Gul</t>
  </si>
  <si>
    <t>Asif Ali</t>
  </si>
  <si>
    <t>TOTAL</t>
  </si>
  <si>
    <t>Month: June 2025</t>
  </si>
  <si>
    <t>Total Employees</t>
  </si>
  <si>
    <t>Total Basic Salary</t>
  </si>
  <si>
    <t>Total Gross Salary</t>
  </si>
  <si>
    <t>Total Deductions</t>
  </si>
  <si>
    <t>Total Net Payable</t>
  </si>
  <si>
    <t>Total OT Pay</t>
  </si>
  <si>
    <t>Total Allowances</t>
  </si>
  <si>
    <t>Total Tax Collected</t>
  </si>
  <si>
    <t>INCOME TAX SLABS — Pakistan FBR 2024-25</t>
  </si>
  <si>
    <t>Annual Income (PKR)</t>
  </si>
  <si>
    <t>Tax Rate</t>
  </si>
  <si>
    <t>Tax Formula</t>
  </si>
  <si>
    <t>Up to 600,000</t>
  </si>
  <si>
    <t>0%</t>
  </si>
  <si>
    <t>No Tax</t>
  </si>
  <si>
    <t>600,001 – 1,200,000</t>
  </si>
  <si>
    <t>5%</t>
  </si>
  <si>
    <t>5% of excess over 600K</t>
  </si>
  <si>
    <t>1,200,001 – 2,400,000</t>
  </si>
  <si>
    <t>15%</t>
  </si>
  <si>
    <t>30,000 + 15% of excess over 1.2M</t>
  </si>
  <si>
    <t>2,400,001 – 3,600,000</t>
  </si>
  <si>
    <t>25%</t>
  </si>
  <si>
    <t>210,000 + 25% of excess over 2.4M</t>
  </si>
  <si>
    <t>Above 3,600,000</t>
  </si>
  <si>
    <t>30%</t>
  </si>
  <si>
    <t>510,000 + 30% of excess over 3.6M</t>
  </si>
  <si>
    <t>PAYROLL FORMULA REFERENCE GUIDE</t>
  </si>
  <si>
    <t>Component</t>
  </si>
  <si>
    <t>Excel Formula Logic</t>
  </si>
  <si>
    <t>Why Used</t>
  </si>
  <si>
    <t>Absent Deduction</t>
  </si>
  <si>
    <t>(Basic / Total Hrs) × 8 × Absent Days</t>
  </si>
  <si>
    <t>Daily rate per hour × 8hr day × absents</t>
  </si>
  <si>
    <t>Basic / Total Hrs × 1.5</t>
  </si>
  <si>
    <t>Overtime premium = 1.5× regular hourly rate</t>
  </si>
  <si>
    <t>OT Pay</t>
  </si>
  <si>
    <t>OT Hours × OT Rate</t>
  </si>
  <si>
    <t>Total overtime earned</t>
  </si>
  <si>
    <t>Gross Salary</t>
  </si>
  <si>
    <t>(Basic − Absent Deduction) + OT Pay + Allowances</t>
  </si>
  <si>
    <t>Total earnings before deductions</t>
  </si>
  <si>
    <t>EOBI</t>
  </si>
  <si>
    <t>Fixed PKR 400</t>
  </si>
  <si>
    <t>Government-mandated social security</t>
  </si>
  <si>
    <t>Income Tax</t>
  </si>
  <si>
    <t>Pakistan FBR slabs (annual basis ÷ 12)</t>
  </si>
  <si>
    <t>Progressive tax on annual gross income</t>
  </si>
  <si>
    <t>Net Pay</t>
  </si>
  <si>
    <t>Gross − EOBI − Income Tax</t>
  </si>
  <si>
    <t>Actual bank transfer amount</t>
  </si>
  <si>
    <t>PAYROLL SUMMARY DASHBOARD|VELOCE DYNAMIC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</si>
</sst>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0"/>
      <color rgb="FFC9A84C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sz val="10"/>
      <color rgb="FF922B21"/>
      <name val="Calibri"/>
      <charset val="1"/>
    </font>
    <font>
      <b/>
      <sz val="10"/>
      <color rgb="FF1B4F72"/>
      <name val="Calibri"/>
      <charset val="1"/>
    </font>
    <font>
      <b/>
      <sz val="10"/>
      <color rgb="FF117A65"/>
      <name val="Calibri"/>
      <charset val="1"/>
    </font>
    <font>
      <b/>
      <sz val="11"/>
      <color rgb="FFFFFFFF"/>
      <name val="Calibri"/>
      <charset val="1"/>
    </font>
    <font>
      <b/>
      <sz val="10"/>
      <color rgb="FFC9A84C"/>
      <name val="Calibri"/>
      <charset val="1"/>
    </font>
    <font>
      <b/>
      <sz val="16"/>
      <color rgb="FFFFFFFF"/>
      <name val="Calibri"/>
      <charset val="1"/>
    </font>
    <font>
      <b/>
      <sz val="13"/>
      <color rgb="FF1B4F72"/>
      <name val="Calibri"/>
      <charset val="1"/>
    </font>
    <font>
      <b/>
      <sz val="13"/>
      <color rgb="FF117A65"/>
      <name val="Calibri"/>
      <charset val="1"/>
    </font>
    <font>
      <b/>
      <sz val="13"/>
      <color rgb="FF922B21"/>
      <name val="Calibri"/>
      <charset val="1"/>
    </font>
    <font>
      <b/>
      <sz val="13"/>
      <color rgb="FF0B6623"/>
      <name val="Calibri"/>
      <charset val="1"/>
    </font>
    <font>
      <b/>
      <sz val="14"/>
      <color rgb="FFFFFFFF"/>
      <name val="Calibri"/>
      <charset val="1"/>
    </font>
    <font>
      <b/>
      <sz val="1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334455"/>
      </patternFill>
    </fill>
    <fill>
      <patternFill patternType="solid">
        <fgColor rgb="FFFFFFFF"/>
        <bgColor rgb="FFF2F3F4"/>
      </patternFill>
    </fill>
    <fill>
      <patternFill patternType="solid">
        <fgColor rgb="FFEAF2FF"/>
        <bgColor rgb="FFF2F3F4"/>
      </patternFill>
    </fill>
    <fill>
      <patternFill patternType="solid">
        <fgColor rgb="FFF5E6C8"/>
        <bgColor rgb="FFF2F3F4"/>
      </patternFill>
    </fill>
    <fill>
      <patternFill patternType="solid">
        <fgColor rgb="FF117A65"/>
        <bgColor rgb="FF008080"/>
      </patternFill>
    </fill>
    <fill>
      <patternFill patternType="solid">
        <fgColor rgb="FF922B21"/>
        <bgColor rgb="FF993366"/>
      </patternFill>
    </fill>
    <fill>
      <patternFill patternType="solid">
        <fgColor rgb="FF0B6623"/>
        <bgColor rgb="FF117A65"/>
      </patternFill>
    </fill>
    <fill>
      <patternFill patternType="solid">
        <fgColor rgb="FFF2F3F4"/>
        <bgColor rgb="FFEAF2FF"/>
      </patternFill>
    </fill>
  </fills>
  <borders count="6">
    <border>
      <left/>
      <right/>
      <top/>
      <bottom/>
      <diagonal/>
    </border>
    <border>
      <left/>
      <right style="thin">
        <color rgb="FF334455"/>
      </right>
      <top/>
      <bottom style="medium">
        <color rgb="FFC9A84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D1B2A"/>
      </left>
      <right/>
      <top style="medium">
        <color rgb="FF0D1B2A"/>
      </top>
      <bottom style="medium">
        <color rgb="FF0D1B2A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0" fontId="4" fillId="3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3" fontId="12" fillId="6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3" fontId="14" fillId="6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3" fontId="13" fillId="6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/>
    </xf>
    <xf numFmtId="3" fontId="15" fillId="6" borderId="3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000080"/>
      <rgbColor rgb="FF808000"/>
      <rgbColor rgb="FF800080"/>
      <rgbColor rgb="FF117A65"/>
      <rgbColor rgb="FFBBBBBB"/>
      <rgbColor rgb="FF808080"/>
      <rgbColor rgb="FF9999FF"/>
      <rgbColor rgb="FF993366"/>
      <rgbColor rgb="FFF2F3F4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B4F72"/>
      <rgbColor rgb="FF339966"/>
      <rgbColor rgb="FF0D1B2A"/>
      <rgbColor rgb="FF333300"/>
      <rgbColor rgb="FF922B21"/>
      <rgbColor rgb="FF993366"/>
      <rgbColor rgb="FF333399"/>
      <rgbColor rgb="FF3344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showGridLines="0" tabSelected="1" zoomScaleNormal="100" workbookViewId="0">
      <pane ySplit="5" topLeftCell="A6" activePane="bottomLeft" state="frozen"/>
      <selection pane="bottomLeft" activeCell="G7" sqref="G7"/>
    </sheetView>
  </sheetViews>
  <sheetFormatPr defaultColWidth="8.7109375" defaultRowHeight="15" x14ac:dyDescent="0.25"/>
  <cols>
    <col min="1" max="1" width="10" customWidth="1"/>
    <col min="2" max="2" width="20" customWidth="1"/>
    <col min="3" max="3" width="18" customWidth="1"/>
    <col min="4" max="4" width="12" customWidth="1"/>
    <col min="5" max="5" width="13" customWidth="1"/>
    <col min="6" max="6" width="9" customWidth="1"/>
    <col min="7" max="7" width="20" customWidth="1"/>
    <col min="8" max="8" width="10" customWidth="1"/>
    <col min="9" max="10" width="14" customWidth="1"/>
    <col min="11" max="11" width="16" customWidth="1"/>
    <col min="12" max="12" width="18" customWidth="1"/>
    <col min="13" max="13" width="12" customWidth="1"/>
    <col min="14" max="14" width="14" customWidth="1"/>
    <col min="15" max="15" width="16" customWidth="1"/>
  </cols>
  <sheetData>
    <row r="1" spans="1:16" ht="37.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9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6" customHeight="1" x14ac:dyDescent="0.25"/>
    <row r="4" spans="1:16" ht="18" customHeight="1" x14ac:dyDescent="0.25">
      <c r="A4" s="23" t="s">
        <v>2</v>
      </c>
      <c r="B4" s="23"/>
      <c r="C4" s="23"/>
      <c r="D4" s="23" t="s">
        <v>3</v>
      </c>
      <c r="E4" s="23"/>
      <c r="F4" s="23"/>
      <c r="G4" s="23"/>
      <c r="H4" s="23" t="s">
        <v>4</v>
      </c>
      <c r="I4" s="23"/>
      <c r="J4" s="23"/>
      <c r="K4" s="23" t="s">
        <v>5</v>
      </c>
      <c r="L4" s="23"/>
      <c r="M4" s="23"/>
      <c r="N4" s="23" t="s">
        <v>6</v>
      </c>
      <c r="O4" s="23"/>
      <c r="P4" s="1" t="s">
        <v>7</v>
      </c>
    </row>
    <row r="5" spans="1:16" ht="36" customHeight="1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</row>
    <row r="6" spans="1:16" ht="19.5" customHeight="1" x14ac:dyDescent="0.25">
      <c r="A6" s="3">
        <v>1001</v>
      </c>
      <c r="B6" s="3" t="s">
        <v>23</v>
      </c>
      <c r="C6" s="4">
        <v>250000</v>
      </c>
      <c r="D6" s="3">
        <v>160</v>
      </c>
      <c r="E6" s="3">
        <v>152</v>
      </c>
      <c r="F6" s="3">
        <v>1</v>
      </c>
      <c r="G6" s="5">
        <f t="shared" ref="G6:G20" si="0">IF(F6=0,0,(C6/D6)*8*F6)</f>
        <v>12500</v>
      </c>
      <c r="H6" s="3">
        <v>0</v>
      </c>
      <c r="I6" s="4">
        <f t="shared" ref="I6:I20" si="1">C6/D6*1.5</f>
        <v>2343.75</v>
      </c>
      <c r="J6" s="4">
        <f t="shared" ref="J6:J20" si="2">H6*I6</f>
        <v>0</v>
      </c>
      <c r="K6" s="4">
        <v>50000</v>
      </c>
      <c r="L6" s="6">
        <f t="shared" ref="L6:L20" si="3">(C6-G6)+J6+K6</f>
        <v>287500</v>
      </c>
      <c r="M6" s="5">
        <v>400</v>
      </c>
      <c r="N6" s="5">
        <f t="shared" ref="N6:N20" si="4">ROUND(IF(L6*12&lt;=600000, 0,IF(L6*12&lt;=1200000, (L6*12-600000)*0.05,IF(L6*12&lt;=2400000, 30000+(L6*12-1200000)*0.15,IF(L6*12&lt;=3600000, 210000+(L6*12-2400000)*0.25,510000+(L6*12-3600000)*0.3))))/12, 0)</f>
        <v>39375</v>
      </c>
      <c r="O6" s="7">
        <f t="shared" ref="O6:O20" si="5">L6-M6-N6</f>
        <v>247725</v>
      </c>
    </row>
    <row r="7" spans="1:16" ht="19.5" customHeight="1" x14ac:dyDescent="0.25">
      <c r="A7" s="8">
        <v>1002</v>
      </c>
      <c r="B7" s="8" t="s">
        <v>24</v>
      </c>
      <c r="C7" s="9">
        <v>85000</v>
      </c>
      <c r="D7" s="8">
        <v>160</v>
      </c>
      <c r="E7" s="8">
        <v>160</v>
      </c>
      <c r="F7" s="8">
        <v>0</v>
      </c>
      <c r="G7" s="10">
        <f t="shared" si="0"/>
        <v>0</v>
      </c>
      <c r="H7" s="8">
        <v>8</v>
      </c>
      <c r="I7" s="9">
        <f t="shared" si="1"/>
        <v>796.875</v>
      </c>
      <c r="J7" s="9">
        <f t="shared" si="2"/>
        <v>6375</v>
      </c>
      <c r="K7" s="9">
        <v>15000</v>
      </c>
      <c r="L7" s="11">
        <f t="shared" si="3"/>
        <v>106375</v>
      </c>
      <c r="M7" s="10">
        <v>400</v>
      </c>
      <c r="N7" s="10">
        <f t="shared" si="4"/>
        <v>3456</v>
      </c>
      <c r="O7" s="12">
        <f t="shared" si="5"/>
        <v>102519</v>
      </c>
    </row>
    <row r="8" spans="1:16" ht="19.5" customHeight="1" x14ac:dyDescent="0.25">
      <c r="A8" s="3">
        <v>1003</v>
      </c>
      <c r="B8" s="3" t="s">
        <v>25</v>
      </c>
      <c r="C8" s="4">
        <v>150000</v>
      </c>
      <c r="D8" s="3">
        <v>160</v>
      </c>
      <c r="E8" s="3">
        <v>160</v>
      </c>
      <c r="F8" s="3">
        <v>0</v>
      </c>
      <c r="G8" s="5">
        <f t="shared" si="0"/>
        <v>0</v>
      </c>
      <c r="H8" s="3">
        <v>12</v>
      </c>
      <c r="I8" s="4">
        <f t="shared" si="1"/>
        <v>1406.25</v>
      </c>
      <c r="J8" s="4">
        <f t="shared" si="2"/>
        <v>16875</v>
      </c>
      <c r="K8" s="4">
        <v>30000</v>
      </c>
      <c r="L8" s="6">
        <f t="shared" si="3"/>
        <v>196875</v>
      </c>
      <c r="M8" s="5">
        <v>400</v>
      </c>
      <c r="N8" s="5">
        <f t="shared" si="4"/>
        <v>17031</v>
      </c>
      <c r="O8" s="7">
        <f t="shared" si="5"/>
        <v>179444</v>
      </c>
    </row>
    <row r="9" spans="1:16" ht="19.5" customHeight="1" x14ac:dyDescent="0.25">
      <c r="A9" s="8">
        <v>1004</v>
      </c>
      <c r="B9" s="8" t="s">
        <v>26</v>
      </c>
      <c r="C9" s="9">
        <v>55000</v>
      </c>
      <c r="D9" s="8">
        <v>160</v>
      </c>
      <c r="E9" s="8">
        <v>144</v>
      </c>
      <c r="F9" s="8">
        <v>2</v>
      </c>
      <c r="G9" s="10">
        <f t="shared" si="0"/>
        <v>5500</v>
      </c>
      <c r="H9" s="8">
        <v>0</v>
      </c>
      <c r="I9" s="9">
        <f t="shared" si="1"/>
        <v>515.625</v>
      </c>
      <c r="J9" s="9">
        <f t="shared" si="2"/>
        <v>0</v>
      </c>
      <c r="K9" s="9">
        <v>10000</v>
      </c>
      <c r="L9" s="11">
        <f t="shared" si="3"/>
        <v>59500</v>
      </c>
      <c r="M9" s="10">
        <v>400</v>
      </c>
      <c r="N9" s="10">
        <f t="shared" si="4"/>
        <v>475</v>
      </c>
      <c r="O9" s="12">
        <f t="shared" si="5"/>
        <v>58625</v>
      </c>
    </row>
    <row r="10" spans="1:16" ht="19.5" customHeight="1" x14ac:dyDescent="0.25">
      <c r="A10" s="3">
        <v>1005</v>
      </c>
      <c r="B10" s="3" t="s">
        <v>27</v>
      </c>
      <c r="C10" s="4">
        <v>110000</v>
      </c>
      <c r="D10" s="3">
        <v>160</v>
      </c>
      <c r="E10" s="3">
        <v>160</v>
      </c>
      <c r="F10" s="3">
        <v>0</v>
      </c>
      <c r="G10" s="5">
        <f t="shared" si="0"/>
        <v>0</v>
      </c>
      <c r="H10" s="3">
        <v>10</v>
      </c>
      <c r="I10" s="4">
        <f t="shared" si="1"/>
        <v>1031.25</v>
      </c>
      <c r="J10" s="4">
        <f t="shared" si="2"/>
        <v>10312.5</v>
      </c>
      <c r="K10" s="4">
        <v>20000</v>
      </c>
      <c r="L10" s="6">
        <f t="shared" si="3"/>
        <v>140312.5</v>
      </c>
      <c r="M10" s="5">
        <v>400</v>
      </c>
      <c r="N10" s="5">
        <f t="shared" si="4"/>
        <v>8547</v>
      </c>
      <c r="O10" s="7">
        <f t="shared" si="5"/>
        <v>131365.5</v>
      </c>
    </row>
    <row r="11" spans="1:16" ht="19.5" customHeight="1" x14ac:dyDescent="0.25">
      <c r="A11" s="8">
        <v>1006</v>
      </c>
      <c r="B11" s="8" t="s">
        <v>28</v>
      </c>
      <c r="C11" s="9">
        <v>75000</v>
      </c>
      <c r="D11" s="8">
        <v>160</v>
      </c>
      <c r="E11" s="8">
        <v>152</v>
      </c>
      <c r="F11" s="8">
        <v>1</v>
      </c>
      <c r="G11" s="10">
        <f t="shared" si="0"/>
        <v>3750</v>
      </c>
      <c r="H11" s="8">
        <v>5</v>
      </c>
      <c r="I11" s="9">
        <f t="shared" si="1"/>
        <v>703.125</v>
      </c>
      <c r="J11" s="9">
        <f t="shared" si="2"/>
        <v>3515.625</v>
      </c>
      <c r="K11" s="9">
        <v>15000</v>
      </c>
      <c r="L11" s="11">
        <f t="shared" si="3"/>
        <v>89765.625</v>
      </c>
      <c r="M11" s="10">
        <v>400</v>
      </c>
      <c r="N11" s="10">
        <f t="shared" si="4"/>
        <v>1988</v>
      </c>
      <c r="O11" s="12">
        <f t="shared" si="5"/>
        <v>87377.625</v>
      </c>
    </row>
    <row r="12" spans="1:16" ht="19.5" customHeight="1" x14ac:dyDescent="0.25">
      <c r="A12" s="3">
        <v>1007</v>
      </c>
      <c r="B12" s="3" t="s">
        <v>29</v>
      </c>
      <c r="C12" s="4">
        <v>185000</v>
      </c>
      <c r="D12" s="3">
        <v>160</v>
      </c>
      <c r="E12" s="3">
        <v>160</v>
      </c>
      <c r="F12" s="3">
        <v>0</v>
      </c>
      <c r="G12" s="5">
        <f t="shared" si="0"/>
        <v>0</v>
      </c>
      <c r="H12" s="3">
        <v>0</v>
      </c>
      <c r="I12" s="4">
        <f t="shared" si="1"/>
        <v>1734.375</v>
      </c>
      <c r="J12" s="4">
        <f t="shared" si="2"/>
        <v>0</v>
      </c>
      <c r="K12" s="4">
        <v>35000</v>
      </c>
      <c r="L12" s="6">
        <f t="shared" si="3"/>
        <v>220000</v>
      </c>
      <c r="M12" s="5">
        <v>400</v>
      </c>
      <c r="N12" s="5">
        <f t="shared" si="4"/>
        <v>22500</v>
      </c>
      <c r="O12" s="7">
        <f t="shared" si="5"/>
        <v>197100</v>
      </c>
    </row>
    <row r="13" spans="1:16" ht="19.5" customHeight="1" x14ac:dyDescent="0.25">
      <c r="A13" s="8">
        <v>1008</v>
      </c>
      <c r="B13" s="8" t="s">
        <v>30</v>
      </c>
      <c r="C13" s="9">
        <v>95000</v>
      </c>
      <c r="D13" s="8">
        <v>160</v>
      </c>
      <c r="E13" s="8">
        <v>160</v>
      </c>
      <c r="F13" s="8">
        <v>0</v>
      </c>
      <c r="G13" s="10">
        <f t="shared" si="0"/>
        <v>0</v>
      </c>
      <c r="H13" s="8">
        <v>15</v>
      </c>
      <c r="I13" s="9">
        <f t="shared" si="1"/>
        <v>890.625</v>
      </c>
      <c r="J13" s="9">
        <f t="shared" si="2"/>
        <v>13359.375</v>
      </c>
      <c r="K13" s="9">
        <v>18000</v>
      </c>
      <c r="L13" s="11">
        <f t="shared" si="3"/>
        <v>126359.375</v>
      </c>
      <c r="M13" s="10">
        <v>400</v>
      </c>
      <c r="N13" s="10">
        <f t="shared" si="4"/>
        <v>6454</v>
      </c>
      <c r="O13" s="12">
        <f t="shared" si="5"/>
        <v>119505.375</v>
      </c>
    </row>
    <row r="14" spans="1:16" ht="19.5" customHeight="1" x14ac:dyDescent="0.25">
      <c r="A14" s="3">
        <v>1009</v>
      </c>
      <c r="B14" s="3" t="s">
        <v>31</v>
      </c>
      <c r="C14" s="4">
        <v>40000</v>
      </c>
      <c r="D14" s="3">
        <v>160</v>
      </c>
      <c r="E14" s="3">
        <v>160</v>
      </c>
      <c r="F14" s="3">
        <v>0</v>
      </c>
      <c r="G14" s="5">
        <f t="shared" si="0"/>
        <v>0</v>
      </c>
      <c r="H14" s="3">
        <v>20</v>
      </c>
      <c r="I14" s="4">
        <f t="shared" si="1"/>
        <v>375</v>
      </c>
      <c r="J14" s="4">
        <f t="shared" si="2"/>
        <v>7500</v>
      </c>
      <c r="K14" s="4">
        <v>5000</v>
      </c>
      <c r="L14" s="6">
        <f t="shared" si="3"/>
        <v>52500</v>
      </c>
      <c r="M14" s="5">
        <v>400</v>
      </c>
      <c r="N14" s="5">
        <f t="shared" si="4"/>
        <v>125</v>
      </c>
      <c r="O14" s="7">
        <f t="shared" si="5"/>
        <v>51975</v>
      </c>
    </row>
    <row r="15" spans="1:16" ht="19.5" customHeight="1" x14ac:dyDescent="0.25">
      <c r="A15" s="8">
        <v>1010</v>
      </c>
      <c r="B15" s="8" t="s">
        <v>32</v>
      </c>
      <c r="C15" s="9">
        <v>210000</v>
      </c>
      <c r="D15" s="8">
        <v>160</v>
      </c>
      <c r="E15" s="8">
        <v>136</v>
      </c>
      <c r="F15" s="8">
        <v>3</v>
      </c>
      <c r="G15" s="10">
        <f t="shared" si="0"/>
        <v>31500</v>
      </c>
      <c r="H15" s="8">
        <v>0</v>
      </c>
      <c r="I15" s="9">
        <f t="shared" si="1"/>
        <v>1968.75</v>
      </c>
      <c r="J15" s="9">
        <f t="shared" si="2"/>
        <v>0</v>
      </c>
      <c r="K15" s="9">
        <v>40000</v>
      </c>
      <c r="L15" s="11">
        <f t="shared" si="3"/>
        <v>218500</v>
      </c>
      <c r="M15" s="10">
        <v>400</v>
      </c>
      <c r="N15" s="10">
        <f t="shared" si="4"/>
        <v>22125</v>
      </c>
      <c r="O15" s="12">
        <f t="shared" si="5"/>
        <v>195975</v>
      </c>
    </row>
    <row r="16" spans="1:16" ht="19.5" customHeight="1" x14ac:dyDescent="0.25">
      <c r="A16" s="3">
        <v>1011</v>
      </c>
      <c r="B16" s="3" t="s">
        <v>33</v>
      </c>
      <c r="C16" s="4">
        <v>130000</v>
      </c>
      <c r="D16" s="3">
        <v>160</v>
      </c>
      <c r="E16" s="3">
        <v>160</v>
      </c>
      <c r="F16" s="3">
        <v>0</v>
      </c>
      <c r="G16" s="5">
        <f t="shared" si="0"/>
        <v>0</v>
      </c>
      <c r="H16" s="3">
        <v>6</v>
      </c>
      <c r="I16" s="4">
        <f t="shared" si="1"/>
        <v>1218.75</v>
      </c>
      <c r="J16" s="4">
        <f t="shared" si="2"/>
        <v>7312.5</v>
      </c>
      <c r="K16" s="4">
        <v>25000</v>
      </c>
      <c r="L16" s="6">
        <f t="shared" si="3"/>
        <v>162312.5</v>
      </c>
      <c r="M16" s="5">
        <v>400</v>
      </c>
      <c r="N16" s="5">
        <f t="shared" si="4"/>
        <v>11847</v>
      </c>
      <c r="O16" s="7">
        <f t="shared" si="5"/>
        <v>150065.5</v>
      </c>
    </row>
    <row r="17" spans="1:15" ht="19.5" customHeight="1" x14ac:dyDescent="0.25">
      <c r="A17" s="8">
        <v>1012</v>
      </c>
      <c r="B17" s="8" t="s">
        <v>34</v>
      </c>
      <c r="C17" s="9">
        <v>65000</v>
      </c>
      <c r="D17" s="8">
        <v>160</v>
      </c>
      <c r="E17" s="8">
        <v>152</v>
      </c>
      <c r="F17" s="8">
        <v>1</v>
      </c>
      <c r="G17" s="10">
        <f t="shared" si="0"/>
        <v>3250</v>
      </c>
      <c r="H17" s="8">
        <v>0</v>
      </c>
      <c r="I17" s="9">
        <f t="shared" si="1"/>
        <v>609.375</v>
      </c>
      <c r="J17" s="9">
        <f t="shared" si="2"/>
        <v>0</v>
      </c>
      <c r="K17" s="9">
        <v>12000</v>
      </c>
      <c r="L17" s="11">
        <f t="shared" si="3"/>
        <v>73750</v>
      </c>
      <c r="M17" s="10">
        <v>400</v>
      </c>
      <c r="N17" s="10">
        <f t="shared" si="4"/>
        <v>1188</v>
      </c>
      <c r="O17" s="12">
        <f t="shared" si="5"/>
        <v>72162</v>
      </c>
    </row>
    <row r="18" spans="1:15" ht="19.5" customHeight="1" x14ac:dyDescent="0.25">
      <c r="A18" s="3">
        <v>1013</v>
      </c>
      <c r="B18" s="3" t="s">
        <v>35</v>
      </c>
      <c r="C18" s="4">
        <v>320000</v>
      </c>
      <c r="D18" s="3">
        <v>160</v>
      </c>
      <c r="E18" s="3">
        <v>160</v>
      </c>
      <c r="F18" s="3">
        <v>0</v>
      </c>
      <c r="G18" s="5">
        <f t="shared" si="0"/>
        <v>0</v>
      </c>
      <c r="H18" s="3">
        <v>0</v>
      </c>
      <c r="I18" s="4">
        <f t="shared" si="1"/>
        <v>3000</v>
      </c>
      <c r="J18" s="4">
        <f t="shared" si="2"/>
        <v>0</v>
      </c>
      <c r="K18" s="4">
        <v>60000</v>
      </c>
      <c r="L18" s="6">
        <f t="shared" si="3"/>
        <v>380000</v>
      </c>
      <c r="M18" s="5">
        <v>400</v>
      </c>
      <c r="N18" s="5">
        <f t="shared" si="4"/>
        <v>66500</v>
      </c>
      <c r="O18" s="7">
        <f t="shared" si="5"/>
        <v>313100</v>
      </c>
    </row>
    <row r="19" spans="1:15" ht="19.5" customHeight="1" x14ac:dyDescent="0.25">
      <c r="A19" s="8">
        <v>1014</v>
      </c>
      <c r="B19" s="8" t="s">
        <v>36</v>
      </c>
      <c r="C19" s="9">
        <v>90000</v>
      </c>
      <c r="D19" s="8">
        <v>160</v>
      </c>
      <c r="E19" s="8">
        <v>160</v>
      </c>
      <c r="F19" s="8">
        <v>0</v>
      </c>
      <c r="G19" s="10">
        <f t="shared" si="0"/>
        <v>0</v>
      </c>
      <c r="H19" s="8">
        <v>4</v>
      </c>
      <c r="I19" s="9">
        <f t="shared" si="1"/>
        <v>843.75</v>
      </c>
      <c r="J19" s="9">
        <f t="shared" si="2"/>
        <v>3375</v>
      </c>
      <c r="K19" s="9">
        <v>18000</v>
      </c>
      <c r="L19" s="11">
        <f t="shared" si="3"/>
        <v>111375</v>
      </c>
      <c r="M19" s="10">
        <v>400</v>
      </c>
      <c r="N19" s="10">
        <f t="shared" si="4"/>
        <v>4206</v>
      </c>
      <c r="O19" s="12">
        <f t="shared" si="5"/>
        <v>106769</v>
      </c>
    </row>
    <row r="20" spans="1:15" ht="19.5" customHeight="1" x14ac:dyDescent="0.25">
      <c r="A20" s="3">
        <v>1015</v>
      </c>
      <c r="B20" s="3" t="s">
        <v>37</v>
      </c>
      <c r="C20" s="4">
        <v>45000</v>
      </c>
      <c r="D20" s="3">
        <v>160</v>
      </c>
      <c r="E20" s="3">
        <v>144</v>
      </c>
      <c r="F20" s="3">
        <v>2</v>
      </c>
      <c r="G20" s="5">
        <f t="shared" si="0"/>
        <v>4500</v>
      </c>
      <c r="H20" s="3">
        <v>10</v>
      </c>
      <c r="I20" s="4">
        <f t="shared" si="1"/>
        <v>421.875</v>
      </c>
      <c r="J20" s="4">
        <f t="shared" si="2"/>
        <v>4218.75</v>
      </c>
      <c r="K20" s="4">
        <v>8000</v>
      </c>
      <c r="L20" s="6">
        <f t="shared" si="3"/>
        <v>52718.75</v>
      </c>
      <c r="M20" s="5">
        <v>400</v>
      </c>
      <c r="N20" s="5">
        <f t="shared" si="4"/>
        <v>136</v>
      </c>
      <c r="O20" s="7">
        <f t="shared" si="5"/>
        <v>52182.75</v>
      </c>
    </row>
    <row r="21" spans="1:15" ht="21.75" customHeight="1" x14ac:dyDescent="0.25">
      <c r="A21" s="20" t="s">
        <v>38</v>
      </c>
      <c r="B21" s="20"/>
      <c r="C21" s="13">
        <f>SUM(C6:C20)</f>
        <v>1905000</v>
      </c>
      <c r="D21" s="14"/>
      <c r="E21" s="14"/>
      <c r="F21" s="14"/>
      <c r="G21" s="13">
        <f>SUM(G6:G20)</f>
        <v>61000</v>
      </c>
      <c r="H21" s="14"/>
      <c r="I21" s="14"/>
      <c r="J21" s="13">
        <f t="shared" ref="J21:O21" si="6">SUM(J6:J20)</f>
        <v>72843.75</v>
      </c>
      <c r="K21" s="13">
        <f t="shared" si="6"/>
        <v>361000</v>
      </c>
      <c r="L21" s="13">
        <f t="shared" si="6"/>
        <v>2277843.75</v>
      </c>
      <c r="M21" s="13">
        <f t="shared" si="6"/>
        <v>6000</v>
      </c>
      <c r="N21" s="13">
        <f t="shared" si="6"/>
        <v>205953</v>
      </c>
      <c r="O21" s="13">
        <f t="shared" si="6"/>
        <v>2065890.75</v>
      </c>
    </row>
  </sheetData>
  <mergeCells count="8">
    <mergeCell ref="A21:B21"/>
    <mergeCell ref="A1:P1"/>
    <mergeCell ref="A2:P2"/>
    <mergeCell ref="A4:C4"/>
    <mergeCell ref="D4:G4"/>
    <mergeCell ref="H4:J4"/>
    <mergeCell ref="K4:M4"/>
    <mergeCell ref="N4:O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18" customWidth="1"/>
    <col min="2" max="3" width="10" customWidth="1"/>
    <col min="4" max="4" width="16" customWidth="1"/>
    <col min="5" max="6" width="10" customWidth="1"/>
  </cols>
  <sheetData>
    <row r="1" spans="1:6" ht="36" customHeight="1" x14ac:dyDescent="0.25">
      <c r="A1" s="36" t="s">
        <v>91</v>
      </c>
      <c r="B1" s="36"/>
      <c r="C1" s="36"/>
      <c r="D1" s="36"/>
      <c r="E1" s="36"/>
      <c r="F1" s="36"/>
    </row>
    <row r="2" spans="1:6" ht="18" customHeight="1" x14ac:dyDescent="0.25">
      <c r="A2" s="22" t="s">
        <v>39</v>
      </c>
      <c r="B2" s="22"/>
      <c r="C2" s="22"/>
      <c r="D2" s="22"/>
      <c r="E2" s="22"/>
      <c r="F2" s="22"/>
    </row>
    <row r="4" spans="1:6" ht="18" customHeight="1" x14ac:dyDescent="0.25">
      <c r="A4" s="28" t="s">
        <v>40</v>
      </c>
      <c r="B4" s="28"/>
      <c r="C4" s="28"/>
      <c r="D4" s="29">
        <f>COUNTA('Payroll Register'!B6:B20)</f>
        <v>15</v>
      </c>
      <c r="E4" s="29"/>
      <c r="F4" s="29"/>
    </row>
    <row r="7" spans="1:6" ht="18" customHeight="1" x14ac:dyDescent="0.25">
      <c r="A7" s="28" t="s">
        <v>41</v>
      </c>
      <c r="B7" s="28"/>
      <c r="C7" s="28"/>
      <c r="D7" s="29">
        <f>'Payroll Register'!C21</f>
        <v>1905000</v>
      </c>
      <c r="E7" s="29"/>
      <c r="F7" s="29"/>
    </row>
    <row r="10" spans="1:6" ht="18" customHeight="1" x14ac:dyDescent="0.25">
      <c r="A10" s="32" t="s">
        <v>42</v>
      </c>
      <c r="B10" s="32"/>
      <c r="C10" s="32"/>
      <c r="D10" s="33">
        <f>'Payroll Register'!L21</f>
        <v>2277843.75</v>
      </c>
      <c r="E10" s="33"/>
      <c r="F10" s="33"/>
    </row>
    <row r="13" spans="1:6" ht="18" customHeight="1" x14ac:dyDescent="0.25">
      <c r="A13" s="30" t="s">
        <v>43</v>
      </c>
      <c r="B13" s="30"/>
      <c r="C13" s="30"/>
      <c r="D13" s="31">
        <f>'Payroll Register'!M21+'Payroll Register'!N21</f>
        <v>211953</v>
      </c>
      <c r="E13" s="31"/>
      <c r="F13" s="31"/>
    </row>
    <row r="16" spans="1:6" ht="18" customHeight="1" x14ac:dyDescent="0.25">
      <c r="A16" s="34" t="s">
        <v>44</v>
      </c>
      <c r="B16" s="34"/>
      <c r="C16" s="34"/>
      <c r="D16" s="35">
        <f>'Payroll Register'!O21</f>
        <v>2065890.75</v>
      </c>
      <c r="E16" s="35"/>
      <c r="F16" s="35"/>
    </row>
    <row r="19" spans="1:6" ht="18" customHeight="1" x14ac:dyDescent="0.25">
      <c r="A19" s="28" t="s">
        <v>45</v>
      </c>
      <c r="B19" s="28"/>
      <c r="C19" s="28"/>
      <c r="D19" s="29">
        <f>'Payroll Register'!J21</f>
        <v>72843.75</v>
      </c>
      <c r="E19" s="29"/>
      <c r="F19" s="29"/>
    </row>
    <row r="22" spans="1:6" ht="18" customHeight="1" x14ac:dyDescent="0.25">
      <c r="A22" s="28" t="s">
        <v>46</v>
      </c>
      <c r="B22" s="28"/>
      <c r="C22" s="28"/>
      <c r="D22" s="29">
        <f>'Payroll Register'!K21</f>
        <v>361000</v>
      </c>
      <c r="E22" s="29"/>
      <c r="F22" s="29"/>
    </row>
    <row r="25" spans="1:6" ht="18" customHeight="1" x14ac:dyDescent="0.25">
      <c r="A25" s="30" t="s">
        <v>47</v>
      </c>
      <c r="B25" s="30"/>
      <c r="C25" s="30"/>
      <c r="D25" s="31">
        <f>'Payroll Register'!N21</f>
        <v>205953</v>
      </c>
      <c r="E25" s="31"/>
      <c r="F25" s="31"/>
    </row>
    <row r="32" spans="1:6" x14ac:dyDescent="0.25">
      <c r="A32" s="26" t="s">
        <v>48</v>
      </c>
      <c r="B32" s="26"/>
      <c r="C32" s="26"/>
      <c r="D32" s="26"/>
      <c r="E32" s="26"/>
      <c r="F32" s="26"/>
    </row>
    <row r="33" spans="1:6" x14ac:dyDescent="0.25">
      <c r="A33" s="27" t="s">
        <v>49</v>
      </c>
      <c r="B33" s="27"/>
      <c r="C33" s="27" t="s">
        <v>50</v>
      </c>
      <c r="D33" s="27"/>
      <c r="E33" s="27" t="s">
        <v>51</v>
      </c>
      <c r="F33" s="27"/>
    </row>
    <row r="34" spans="1:6" x14ac:dyDescent="0.25">
      <c r="A34" s="25" t="s">
        <v>52</v>
      </c>
      <c r="B34" s="25"/>
      <c r="C34" s="25" t="s">
        <v>53</v>
      </c>
      <c r="D34" s="25"/>
      <c r="E34" s="25" t="s">
        <v>54</v>
      </c>
      <c r="F34" s="25"/>
    </row>
    <row r="35" spans="1:6" x14ac:dyDescent="0.25">
      <c r="A35" s="24" t="s">
        <v>55</v>
      </c>
      <c r="B35" s="24"/>
      <c r="C35" s="24" t="s">
        <v>56</v>
      </c>
      <c r="D35" s="24"/>
      <c r="E35" s="24" t="s">
        <v>57</v>
      </c>
      <c r="F35" s="24"/>
    </row>
    <row r="36" spans="1:6" x14ac:dyDescent="0.25">
      <c r="A36" s="25" t="s">
        <v>58</v>
      </c>
      <c r="B36" s="25"/>
      <c r="C36" s="25" t="s">
        <v>59</v>
      </c>
      <c r="D36" s="25"/>
      <c r="E36" s="25" t="s">
        <v>60</v>
      </c>
      <c r="F36" s="25"/>
    </row>
    <row r="37" spans="1:6" x14ac:dyDescent="0.25">
      <c r="A37" s="24" t="s">
        <v>61</v>
      </c>
      <c r="B37" s="24"/>
      <c r="C37" s="24" t="s">
        <v>62</v>
      </c>
      <c r="D37" s="24"/>
      <c r="E37" s="24" t="s">
        <v>63</v>
      </c>
      <c r="F37" s="24"/>
    </row>
    <row r="38" spans="1:6" x14ac:dyDescent="0.25">
      <c r="A38" s="25" t="s">
        <v>64</v>
      </c>
      <c r="B38" s="25"/>
      <c r="C38" s="25" t="s">
        <v>65</v>
      </c>
      <c r="D38" s="25"/>
      <c r="E38" s="25" t="s">
        <v>66</v>
      </c>
      <c r="F38" s="25"/>
    </row>
  </sheetData>
  <mergeCells count="37">
    <mergeCell ref="A1:F1"/>
    <mergeCell ref="A2:F2"/>
    <mergeCell ref="A4:C4"/>
    <mergeCell ref="D4:F4"/>
    <mergeCell ref="A7:C7"/>
    <mergeCell ref="D7:F7"/>
    <mergeCell ref="A10:C10"/>
    <mergeCell ref="D10:F10"/>
    <mergeCell ref="A13:C13"/>
    <mergeCell ref="D13:F13"/>
    <mergeCell ref="A16:C16"/>
    <mergeCell ref="D16:F16"/>
    <mergeCell ref="A19:C19"/>
    <mergeCell ref="D19:F19"/>
    <mergeCell ref="A22:C22"/>
    <mergeCell ref="D22:F22"/>
    <mergeCell ref="A25:C25"/>
    <mergeCell ref="D25:F25"/>
    <mergeCell ref="A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20" customWidth="1"/>
    <col min="2" max="3" width="40" customWidth="1"/>
    <col min="4" max="4" width="5" customWidth="1"/>
  </cols>
  <sheetData>
    <row r="1" spans="1:4" ht="30" customHeight="1" x14ac:dyDescent="0.25">
      <c r="A1" s="37" t="s">
        <v>67</v>
      </c>
      <c r="B1" s="37"/>
      <c r="C1" s="37"/>
      <c r="D1" s="37"/>
    </row>
    <row r="2" spans="1:4" x14ac:dyDescent="0.25">
      <c r="A2" s="15" t="s">
        <v>68</v>
      </c>
      <c r="B2" s="15" t="s">
        <v>69</v>
      </c>
      <c r="C2" s="15" t="s">
        <v>70</v>
      </c>
    </row>
    <row r="3" spans="1:4" ht="27.75" customHeight="1" x14ac:dyDescent="0.25">
      <c r="A3" s="16" t="s">
        <v>71</v>
      </c>
      <c r="B3" s="17" t="s">
        <v>72</v>
      </c>
      <c r="C3" s="17" t="s">
        <v>73</v>
      </c>
    </row>
    <row r="4" spans="1:4" ht="27.75" customHeight="1" x14ac:dyDescent="0.25">
      <c r="A4" s="18" t="s">
        <v>16</v>
      </c>
      <c r="B4" s="19" t="s">
        <v>74</v>
      </c>
      <c r="C4" s="19" t="s">
        <v>75</v>
      </c>
    </row>
    <row r="5" spans="1:4" ht="27.75" customHeight="1" x14ac:dyDescent="0.25">
      <c r="A5" s="16" t="s">
        <v>76</v>
      </c>
      <c r="B5" s="17" t="s">
        <v>77</v>
      </c>
      <c r="C5" s="17" t="s">
        <v>78</v>
      </c>
    </row>
    <row r="6" spans="1:4" ht="27.75" customHeight="1" x14ac:dyDescent="0.25">
      <c r="A6" s="18" t="s">
        <v>79</v>
      </c>
      <c r="B6" s="19" t="s">
        <v>80</v>
      </c>
      <c r="C6" s="19" t="s">
        <v>81</v>
      </c>
    </row>
    <row r="7" spans="1:4" ht="27.75" customHeight="1" x14ac:dyDescent="0.25">
      <c r="A7" s="16" t="s">
        <v>82</v>
      </c>
      <c r="B7" s="17" t="s">
        <v>83</v>
      </c>
      <c r="C7" s="17" t="s">
        <v>84</v>
      </c>
    </row>
    <row r="8" spans="1:4" ht="27.75" customHeight="1" x14ac:dyDescent="0.25">
      <c r="A8" s="18" t="s">
        <v>85</v>
      </c>
      <c r="B8" s="19" t="s">
        <v>86</v>
      </c>
      <c r="C8" s="19" t="s">
        <v>87</v>
      </c>
    </row>
    <row r="9" spans="1:4" ht="27.75" customHeight="1" x14ac:dyDescent="0.25">
      <c r="A9" s="16" t="s">
        <v>88</v>
      </c>
      <c r="B9" s="17" t="s">
        <v>89</v>
      </c>
      <c r="C9" s="17" t="s">
        <v>90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Register</vt:lpstr>
      <vt:lpstr>Summary Dashboard</vt:lpstr>
      <vt:lpstr>Formula Legend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kamil</cp:lastModifiedBy>
  <cp:revision>0</cp:revision>
  <dcterms:created xsi:type="dcterms:W3CDTF">2026-04-04T10:38:10Z</dcterms:created>
  <dcterms:modified xsi:type="dcterms:W3CDTF">2026-04-06T15:01:42Z</dcterms:modified>
  <dc:language>en-US</dc:language>
</cp:coreProperties>
</file>